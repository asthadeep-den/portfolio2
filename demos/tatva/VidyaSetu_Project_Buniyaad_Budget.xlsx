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Beneficiar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<sst xmlns="http://schemas.openxmlformats.org/spreadsheetml/2006/main" count="85" uniqueCount="61">
  <si>
    <t xml:space="preserve">PROJECT BUNIYAAD — DETAILED BUDGET</t>
  </si>
  <si>
    <t xml:space="preserve">Vidya Setu Charitable Trust  ·  3-year grant request  ·  foundational literacy &amp; numeracy  ·  INR</t>
  </si>
  <si>
    <t xml:space="preserve">Line</t>
  </si>
  <si>
    <t xml:space="preserve">Category</t>
  </si>
  <si>
    <t xml:space="preserve">Item</t>
  </si>
  <si>
    <t xml:space="preserve">Units</t>
  </si>
  <si>
    <t xml:space="preserve">Unit Cost</t>
  </si>
  <si>
    <t xml:space="preserve">Year 1</t>
  </si>
  <si>
    <t xml:space="preserve">Year 2</t>
  </si>
  <si>
    <t xml:space="preserve">Year 3</t>
  </si>
  <si>
    <t xml:space="preserve">Total</t>
  </si>
  <si>
    <t xml:space="preserve">D1</t>
  </si>
  <si>
    <t xml:space="preserve">Direct</t>
  </si>
  <si>
    <t xml:space="preserve">FLN kits &amp; teaching-learning materials</t>
  </si>
  <si>
    <t xml:space="preserve">child-set</t>
  </si>
  <si>
    <t xml:space="preserve">D2</t>
  </si>
  <si>
    <t xml:space="preserve">Field academic facilitators (10)</t>
  </si>
  <si>
    <t xml:space="preserve">person-month</t>
  </si>
  <si>
    <t xml:space="preserve">D3</t>
  </si>
  <si>
    <t xml:space="preserve">Teacher training workshops (NIPUN-aligned)</t>
  </si>
  <si>
    <t xml:space="preserve">workshop</t>
  </si>
  <si>
    <t xml:space="preserve">D4</t>
  </si>
  <si>
    <t xml:space="preserve">Remedial / catch-up learning camps</t>
  </si>
  <si>
    <t xml:space="preserve">camp</t>
  </si>
  <si>
    <t xml:space="preserve">D5</t>
  </si>
  <si>
    <t xml:space="preserve">Learning assessments (baseline/mid/endline)</t>
  </si>
  <si>
    <t xml:space="preserve">round</t>
  </si>
  <si>
    <t xml:space="preserve">I1</t>
  </si>
  <si>
    <t xml:space="preserve">Indirect</t>
  </si>
  <si>
    <t xml:space="preserve">Programme Manager (full-time)</t>
  </si>
  <si>
    <t xml:space="preserve">I2</t>
  </si>
  <si>
    <t xml:space="preserve">M&amp;E &amp; data officer</t>
  </si>
  <si>
    <t xml:space="preserve">I3</t>
  </si>
  <si>
    <t xml:space="preserve">Staff capacity building</t>
  </si>
  <si>
    <t xml:space="preserve">year</t>
  </si>
  <si>
    <t xml:space="preserve">I4</t>
  </si>
  <si>
    <t xml:space="preserve">Travel &amp; field logistics</t>
  </si>
  <si>
    <t xml:space="preserve">A1</t>
  </si>
  <si>
    <t xml:space="preserve">Admin</t>
  </si>
  <si>
    <t xml:space="preserve">Office rent &amp; utilities (apportioned)</t>
  </si>
  <si>
    <t xml:space="preserve">month</t>
  </si>
  <si>
    <t xml:space="preserve">A2</t>
  </si>
  <si>
    <t xml:space="preserve">Audit &amp; statutory compliance</t>
  </si>
  <si>
    <t xml:space="preserve">A3</t>
  </si>
  <si>
    <t xml:space="preserve">Finance &amp; accounting</t>
  </si>
  <si>
    <t xml:space="preserve">A4</t>
  </si>
  <si>
    <t xml:space="preserve">Communication &amp; admin (misc)</t>
  </si>
  <si>
    <t xml:space="preserve">TOTAL GRANT REQUESTED</t>
  </si>
  <si>
    <t xml:space="preserve">SUMMARY BY COST CLASS</t>
  </si>
  <si>
    <t xml:space="preserve">Class</t>
  </si>
  <si>
    <t xml:space="preserve">% of budget</t>
  </si>
  <si>
    <t xml:space="preserve">Admin cost ratio</t>
  </si>
  <si>
    <t xml:space="preserve">Within 15% cap ✓</t>
  </si>
  <si>
    <t xml:space="preserve">PROJECT BUNIYAAD — BENEFICIARY REACH</t>
  </si>
  <si>
    <t xml:space="preserve">Direct beneficiaries by year (children in government schools)</t>
  </si>
  <si>
    <t xml:space="preserve">Beneficiary group</t>
  </si>
  <si>
    <t xml:space="preserve">Children — direct (FLN)</t>
  </si>
  <si>
    <t xml:space="preserve">Teachers trained</t>
  </si>
  <si>
    <t xml:space="preserve">Parents / community (indirect)</t>
  </si>
  <si>
    <t xml:space="preserve">TOTAL DIRECT CHILDREN</t>
  </si>
  <si>
    <t xml:space="preserve">Cost per child (INR) = total budget / 4,500 children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</si>
</sst>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color rgb="FF2F7D5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D4EDDA"/>
      </patternFill>
    </fill>
    <fill>
      <patternFill patternType="solid">
        <fgColor rgb="FF2B5A9E"/>
        <bgColor rgb="FF333399"/>
      </patternFill>
    </fill>
    <fill>
      <patternFill patternType="solid">
        <fgColor rgb="FFD4ED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2B5A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2F7D5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6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8" min="6" style="0" width="12"/>
    <col collapsed="false" customWidth="true" hidden="false" outlineLevel="0" max="9" min="9" style="0" width="13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s">
        <v>13</v>
      </c>
      <c r="D5" s="5" t="s">
        <v>14</v>
      </c>
      <c r="E5" s="6" t="n">
        <v>640</v>
      </c>
      <c r="F5" s="6" t="n">
        <v>3000000</v>
      </c>
      <c r="G5" s="6" t="n">
        <v>2800000</v>
      </c>
      <c r="H5" s="6" t="n">
        <v>2200000</v>
      </c>
      <c r="I5" s="6" t="n">
        <f aca="false">SUM(F5:H5)</f>
        <v>8000000</v>
      </c>
    </row>
    <row r="6" customFormat="false" ht="15" hidden="false" customHeight="false" outlineLevel="0" collapsed="false">
      <c r="A6" s="7" t="s">
        <v>15</v>
      </c>
      <c r="B6" s="7" t="s">
        <v>12</v>
      </c>
      <c r="C6" s="8" t="s">
        <v>16</v>
      </c>
      <c r="D6" s="8" t="s">
        <v>17</v>
      </c>
      <c r="E6" s="9" t="n">
        <v>20000</v>
      </c>
      <c r="F6" s="9" t="n">
        <v>2400000</v>
      </c>
      <c r="G6" s="9" t="n">
        <v>2400000</v>
      </c>
      <c r="H6" s="9" t="n">
        <v>2400000</v>
      </c>
      <c r="I6" s="9" t="n">
        <f aca="false">SUM(F6:H6)</f>
        <v>7200000</v>
      </c>
    </row>
    <row r="7" customFormat="false" ht="15" hidden="false" customHeight="false" outlineLevel="0" collapsed="false">
      <c r="A7" s="4" t="s">
        <v>18</v>
      </c>
      <c r="B7" s="4" t="s">
        <v>12</v>
      </c>
      <c r="C7" s="5" t="s">
        <v>19</v>
      </c>
      <c r="D7" s="5" t="s">
        <v>20</v>
      </c>
      <c r="E7" s="6" t="n">
        <v>25000</v>
      </c>
      <c r="F7" s="6" t="n">
        <v>1000000</v>
      </c>
      <c r="G7" s="6" t="n">
        <v>800000</v>
      </c>
      <c r="H7" s="6" t="n">
        <v>600000</v>
      </c>
      <c r="I7" s="6" t="n">
        <f aca="false">SUM(F7:H7)</f>
        <v>2400000</v>
      </c>
    </row>
    <row r="8" customFormat="false" ht="15" hidden="false" customHeight="false" outlineLevel="0" collapsed="false">
      <c r="A8" s="7" t="s">
        <v>21</v>
      </c>
      <c r="B8" s="7" t="s">
        <v>12</v>
      </c>
      <c r="C8" s="8" t="s">
        <v>22</v>
      </c>
      <c r="D8" s="8" t="s">
        <v>23</v>
      </c>
      <c r="E8" s="9" t="n">
        <v>12000</v>
      </c>
      <c r="F8" s="9" t="n">
        <v>600000</v>
      </c>
      <c r="G8" s="9" t="n">
        <v>600000</v>
      </c>
      <c r="H8" s="9" t="n">
        <v>600000</v>
      </c>
      <c r="I8" s="9" t="n">
        <f aca="false">SUM(F8:H8)</f>
        <v>1800000</v>
      </c>
    </row>
    <row r="9" customFormat="false" ht="15" hidden="false" customHeight="false" outlineLevel="0" collapsed="false">
      <c r="A9" s="4" t="s">
        <v>24</v>
      </c>
      <c r="B9" s="4" t="s">
        <v>12</v>
      </c>
      <c r="C9" s="5" t="s">
        <v>25</v>
      </c>
      <c r="D9" s="5" t="s">
        <v>26</v>
      </c>
      <c r="E9" s="6" t="n">
        <v>200000</v>
      </c>
      <c r="F9" s="6" t="n">
        <v>600000</v>
      </c>
      <c r="G9" s="6" t="n">
        <v>400000</v>
      </c>
      <c r="H9" s="6" t="n">
        <v>600000</v>
      </c>
      <c r="I9" s="6" t="n">
        <f aca="false">SUM(F9:H9)</f>
        <v>1600000</v>
      </c>
    </row>
    <row r="10" customFormat="false" ht="15" hidden="false" customHeight="false" outlineLevel="0" collapsed="false">
      <c r="A10" s="7" t="s">
        <v>27</v>
      </c>
      <c r="B10" s="7" t="s">
        <v>28</v>
      </c>
      <c r="C10" s="8" t="s">
        <v>29</v>
      </c>
      <c r="D10" s="8" t="s">
        <v>17</v>
      </c>
      <c r="E10" s="9" t="n">
        <v>50000</v>
      </c>
      <c r="F10" s="9" t="n">
        <v>600000</v>
      </c>
      <c r="G10" s="9" t="n">
        <v>600000</v>
      </c>
      <c r="H10" s="9" t="n">
        <v>600000</v>
      </c>
      <c r="I10" s="9" t="n">
        <f aca="false">SUM(F10:H10)</f>
        <v>1800000</v>
      </c>
    </row>
    <row r="11" customFormat="false" ht="15" hidden="false" customHeight="false" outlineLevel="0" collapsed="false">
      <c r="A11" s="4" t="s">
        <v>30</v>
      </c>
      <c r="B11" s="4" t="s">
        <v>28</v>
      </c>
      <c r="C11" s="5" t="s">
        <v>31</v>
      </c>
      <c r="D11" s="5" t="s">
        <v>17</v>
      </c>
      <c r="E11" s="6" t="n">
        <v>33000</v>
      </c>
      <c r="F11" s="6" t="n">
        <v>400000</v>
      </c>
      <c r="G11" s="6" t="n">
        <v>400000</v>
      </c>
      <c r="H11" s="6" t="n">
        <v>400000</v>
      </c>
      <c r="I11" s="6" t="n">
        <f aca="false">SUM(F11:H11)</f>
        <v>1200000</v>
      </c>
    </row>
    <row r="12" customFormat="false" ht="15" hidden="false" customHeight="false" outlineLevel="0" collapsed="false">
      <c r="A12" s="7" t="s">
        <v>32</v>
      </c>
      <c r="B12" s="7" t="s">
        <v>28</v>
      </c>
      <c r="C12" s="8" t="s">
        <v>33</v>
      </c>
      <c r="D12" s="8" t="s">
        <v>34</v>
      </c>
      <c r="E12" s="9" t="n">
        <v>200000</v>
      </c>
      <c r="F12" s="9" t="n">
        <v>200000</v>
      </c>
      <c r="G12" s="9" t="n">
        <v>200000</v>
      </c>
      <c r="H12" s="9" t="n">
        <v>200000</v>
      </c>
      <c r="I12" s="9" t="n">
        <f aca="false">SUM(F12:H12)</f>
        <v>600000</v>
      </c>
    </row>
    <row r="13" customFormat="false" ht="15" hidden="false" customHeight="false" outlineLevel="0" collapsed="false">
      <c r="A13" s="4" t="s">
        <v>35</v>
      </c>
      <c r="B13" s="4" t="s">
        <v>28</v>
      </c>
      <c r="C13" s="5" t="s">
        <v>36</v>
      </c>
      <c r="D13" s="5" t="s">
        <v>34</v>
      </c>
      <c r="E13" s="6" t="n">
        <v>400000</v>
      </c>
      <c r="F13" s="6" t="n">
        <v>400000</v>
      </c>
      <c r="G13" s="6" t="n">
        <v>400000</v>
      </c>
      <c r="H13" s="6" t="n">
        <v>300000</v>
      </c>
      <c r="I13" s="6" t="n">
        <f aca="false">SUM(F13:H13)</f>
        <v>1100000</v>
      </c>
    </row>
    <row r="14" customFormat="false" ht="15" hidden="false" customHeight="false" outlineLevel="0" collapsed="false">
      <c r="A14" s="7" t="s">
        <v>37</v>
      </c>
      <c r="B14" s="7" t="s">
        <v>38</v>
      </c>
      <c r="C14" s="8" t="s">
        <v>39</v>
      </c>
      <c r="D14" s="8" t="s">
        <v>40</v>
      </c>
      <c r="E14" s="9" t="n">
        <v>50000</v>
      </c>
      <c r="F14" s="9" t="n">
        <v>600000</v>
      </c>
      <c r="G14" s="9" t="n">
        <v>600000</v>
      </c>
      <c r="H14" s="9" t="n">
        <v>600000</v>
      </c>
      <c r="I14" s="9" t="n">
        <f aca="false">SUM(F14:H14)</f>
        <v>1800000</v>
      </c>
    </row>
    <row r="15" customFormat="false" ht="15" hidden="false" customHeight="false" outlineLevel="0" collapsed="false">
      <c r="A15" s="4" t="s">
        <v>41</v>
      </c>
      <c r="B15" s="4" t="s">
        <v>38</v>
      </c>
      <c r="C15" s="5" t="s">
        <v>42</v>
      </c>
      <c r="D15" s="5" t="s">
        <v>34</v>
      </c>
      <c r="E15" s="6" t="n">
        <v>200000</v>
      </c>
      <c r="F15" s="6" t="n">
        <v>200000</v>
      </c>
      <c r="G15" s="6" t="n">
        <v>200000</v>
      </c>
      <c r="H15" s="6" t="n">
        <v>200000</v>
      </c>
      <c r="I15" s="6" t="n">
        <f aca="false">SUM(F15:H15)</f>
        <v>600000</v>
      </c>
    </row>
    <row r="16" customFormat="false" ht="15" hidden="false" customHeight="false" outlineLevel="0" collapsed="false">
      <c r="A16" s="7" t="s">
        <v>43</v>
      </c>
      <c r="B16" s="7" t="s">
        <v>38</v>
      </c>
      <c r="C16" s="8" t="s">
        <v>44</v>
      </c>
      <c r="D16" s="8" t="s">
        <v>34</v>
      </c>
      <c r="E16" s="9" t="n">
        <v>233000</v>
      </c>
      <c r="F16" s="9" t="n">
        <v>300000</v>
      </c>
      <c r="G16" s="9" t="n">
        <v>200000</v>
      </c>
      <c r="H16" s="9" t="n">
        <v>200000</v>
      </c>
      <c r="I16" s="9" t="n">
        <f aca="false">SUM(F16:H16)</f>
        <v>700000</v>
      </c>
    </row>
    <row r="17" customFormat="false" ht="15" hidden="false" customHeight="false" outlineLevel="0" collapsed="false">
      <c r="A17" s="4" t="s">
        <v>45</v>
      </c>
      <c r="B17" s="4" t="s">
        <v>38</v>
      </c>
      <c r="C17" s="5" t="s">
        <v>46</v>
      </c>
      <c r="D17" s="5" t="s">
        <v>34</v>
      </c>
      <c r="E17" s="6" t="n">
        <v>133000</v>
      </c>
      <c r="F17" s="6" t="n">
        <v>200000</v>
      </c>
      <c r="G17" s="6" t="n">
        <v>100000</v>
      </c>
      <c r="H17" s="6" t="n">
        <v>100000</v>
      </c>
      <c r="I17" s="6" t="n">
        <f aca="false">SUM(F17:H17)</f>
        <v>400000</v>
      </c>
    </row>
    <row r="18" customFormat="false" ht="15" hidden="false" customHeight="false" outlineLevel="0" collapsed="false">
      <c r="A18" s="10"/>
      <c r="B18" s="10"/>
      <c r="C18" s="11" t="s">
        <v>47</v>
      </c>
      <c r="D18" s="10"/>
      <c r="E18" s="10"/>
      <c r="F18" s="12" t="n">
        <f aca="false">SUM(F5:F17)</f>
        <v>10500000</v>
      </c>
      <c r="G18" s="12" t="n">
        <f aca="false">SUM(G5:G17)</f>
        <v>9700000</v>
      </c>
      <c r="H18" s="12" t="n">
        <f aca="false">SUM(H5:H17)</f>
        <v>9000000</v>
      </c>
      <c r="I18" s="12" t="n">
        <f aca="false">SUM(I5:I17)</f>
        <v>29200000</v>
      </c>
    </row>
    <row r="21" customFormat="false" ht="15" hidden="false" customHeight="false" outlineLevel="0" collapsed="false">
      <c r="B21" s="13" t="s">
        <v>48</v>
      </c>
    </row>
    <row r="22" customFormat="false" ht="15" hidden="false" customHeight="false" outlineLevel="0" collapsed="false">
      <c r="B22" s="14" t="s">
        <v>49</v>
      </c>
      <c r="C22" s="14" t="s">
        <v>10</v>
      </c>
      <c r="D22" s="14" t="s">
        <v>50</v>
      </c>
    </row>
    <row r="23" customFormat="false" ht="15" hidden="false" customHeight="false" outlineLevel="0" collapsed="false">
      <c r="B23" s="15" t="s">
        <v>12</v>
      </c>
      <c r="C23" s="6" t="n">
        <f aca="false">SUMIF($B$5:$B$17,B23,$I$5:$I$17)</f>
        <v>21000000</v>
      </c>
      <c r="D23" s="16" t="n">
        <f aca="false">C23/$I$18</f>
        <v>0.719178082191781</v>
      </c>
    </row>
    <row r="24" customFormat="false" ht="15" hidden="false" customHeight="false" outlineLevel="0" collapsed="false">
      <c r="B24" s="15" t="s">
        <v>28</v>
      </c>
      <c r="C24" s="6" t="n">
        <f aca="false">SUMIF($B$5:$B$17,B24,$I$5:$I$17)</f>
        <v>4700000</v>
      </c>
      <c r="D24" s="16" t="n">
        <f aca="false">C24/$I$18</f>
        <v>0.160958904109589</v>
      </c>
    </row>
    <row r="25" customFormat="false" ht="15" hidden="false" customHeight="false" outlineLevel="0" collapsed="false">
      <c r="B25" s="15" t="s">
        <v>38</v>
      </c>
      <c r="C25" s="6" t="n">
        <f aca="false">SUMIF($B$5:$B$17,B25,$I$5:$I$17)</f>
        <v>3500000</v>
      </c>
      <c r="D25" s="16" t="n">
        <f aca="false">C25/$I$18</f>
        <v>0.11986301369863</v>
      </c>
    </row>
    <row r="27" customFormat="false" ht="15" hidden="false" customHeight="false" outlineLevel="0" collapsed="false">
      <c r="B27" s="17" t="s">
        <v>51</v>
      </c>
      <c r="C27" s="18" t="n">
        <f aca="false">C25/I18</f>
        <v>0.11986301369863</v>
      </c>
      <c r="D27" s="1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13"/>
  </cols>
  <sheetData>
    <row r="1" customFormat="false" ht="18.5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3" t="s">
        <v>55</v>
      </c>
      <c r="B4" s="3" t="s">
        <v>7</v>
      </c>
      <c r="C4" s="3" t="s">
        <v>8</v>
      </c>
      <c r="D4" s="3" t="s">
        <v>9</v>
      </c>
      <c r="E4" s="3" t="s">
        <v>10</v>
      </c>
    </row>
    <row r="5" customFormat="false" ht="15" hidden="false" customHeight="false" outlineLevel="0" collapsed="false">
      <c r="A5" s="5" t="s">
        <v>56</v>
      </c>
      <c r="B5" s="6" t="n">
        <v>1800</v>
      </c>
      <c r="C5" s="6" t="n">
        <v>1500</v>
      </c>
      <c r="D5" s="6" t="n">
        <v>1200</v>
      </c>
      <c r="E5" s="20" t="n">
        <f aca="false">SUM(B5:D5)</f>
        <v>4500</v>
      </c>
    </row>
    <row r="6" customFormat="false" ht="15" hidden="false" customHeight="false" outlineLevel="0" collapsed="false">
      <c r="A6" s="5" t="s">
        <v>57</v>
      </c>
      <c r="B6" s="6" t="n">
        <v>120</v>
      </c>
      <c r="C6" s="6" t="n">
        <v>90</v>
      </c>
      <c r="D6" s="6" t="n">
        <v>60</v>
      </c>
      <c r="E6" s="20" t="n">
        <f aca="false">SUM(B6:D6)</f>
        <v>270</v>
      </c>
    </row>
    <row r="7" customFormat="false" ht="15" hidden="false" customHeight="false" outlineLevel="0" collapsed="false">
      <c r="A7" s="5" t="s">
        <v>58</v>
      </c>
      <c r="B7" s="6" t="n">
        <v>3600</v>
      </c>
      <c r="C7" s="6" t="n">
        <v>3000</v>
      </c>
      <c r="D7" s="6" t="n">
        <v>2400</v>
      </c>
      <c r="E7" s="20" t="n">
        <f aca="false">SUM(B7:D7)</f>
        <v>9000</v>
      </c>
    </row>
    <row r="8" customFormat="false" ht="15" hidden="false" customHeight="false" outlineLevel="0" collapsed="false">
      <c r="A8" s="13" t="s">
        <v>59</v>
      </c>
      <c r="E8" s="21" t="n">
        <f aca="false">E5</f>
        <v>4500</v>
      </c>
    </row>
    <row r="10" customFormat="false" ht="15" hidden="false" customHeight="false" outlineLevel="0" collapsed="false">
      <c r="A10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2026-06-05T04:00:59Z</dcterms:created>
  <dc:creator>openpyxl</dc:creator>
  <dc:description/>
  <dc:language>en-US</dc:language>
  <cp:lastModifiedBy/>
  <dcterms:modified xsi:type="dcterms:W3CDTF">2026-06-05T04:00:59Z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